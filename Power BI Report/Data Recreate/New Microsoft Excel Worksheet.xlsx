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RUONG\Highlands\simple-pipeline\Power BI Report\Data Recreate\"/>
    </mc:Choice>
  </mc:AlternateContent>
  <xr:revisionPtr revIDLastSave="0" documentId="13_ncr:1_{3C5AF740-7268-452A-B749-D63F3B38A2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6" i="1"/>
  <c r="F3" i="1"/>
  <c r="F5" i="1"/>
  <c r="F4" i="1"/>
  <c r="F8" i="1"/>
  <c r="F7" i="1"/>
  <c r="G7" i="1"/>
  <c r="G6" i="1"/>
  <c r="G5" i="1"/>
  <c r="G4" i="1"/>
  <c r="G3" i="1"/>
  <c r="G8" i="1"/>
</calcChain>
</file>

<file path=xl/sharedStrings.xml><?xml version="1.0" encoding="utf-8"?>
<sst xmlns="http://schemas.openxmlformats.org/spreadsheetml/2006/main" count="9" uniqueCount="9">
  <si>
    <t>Brand</t>
  </si>
  <si>
    <t>Highlands Coffee</t>
  </si>
  <si>
    <t>Phúc Long</t>
  </si>
  <si>
    <t>Starbucks</t>
  </si>
  <si>
    <t>The Coffee House</t>
  </si>
  <si>
    <t>Cộng cà phê</t>
  </si>
  <si>
    <t>Trung Nguyên</t>
  </si>
  <si>
    <t>2024-2025</t>
  </si>
  <si>
    <t>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</si>
</sst>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Cộng cà phê</c:v>
                </c:pt>
                <c:pt idx="1">
                  <c:v>The Coffee House</c:v>
                </c:pt>
                <c:pt idx="2">
                  <c:v>Trung Nguyên</c:v>
                </c:pt>
                <c:pt idx="3">
                  <c:v>Starbucks</c:v>
                </c:pt>
                <c:pt idx="4">
                  <c:v>Phúc Long</c:v>
                </c:pt>
                <c:pt idx="5">
                  <c:v>Highlands Coffee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63</c:v>
                </c:pt>
                <c:pt idx="1">
                  <c:v>147</c:v>
                </c:pt>
                <c:pt idx="2">
                  <c:v>64</c:v>
                </c:pt>
                <c:pt idx="3">
                  <c:v>56</c:v>
                </c:pt>
                <c:pt idx="4">
                  <c:v>49</c:v>
                </c:pt>
                <c:pt idx="5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4-45DC-AE08-54EAD056EB09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Cộng cà phê</c:v>
                </c:pt>
                <c:pt idx="1">
                  <c:v>The Coffee House</c:v>
                </c:pt>
                <c:pt idx="2">
                  <c:v>Trung Nguyên</c:v>
                </c:pt>
                <c:pt idx="3">
                  <c:v>Starbucks</c:v>
                </c:pt>
                <c:pt idx="4">
                  <c:v>Phúc Long</c:v>
                </c:pt>
                <c:pt idx="5">
                  <c:v>Highlands Coffee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75</c:v>
                </c:pt>
                <c:pt idx="1">
                  <c:v>141</c:v>
                </c:pt>
                <c:pt idx="2">
                  <c:v>116</c:v>
                </c:pt>
                <c:pt idx="3">
                  <c:v>110</c:v>
                </c:pt>
                <c:pt idx="4">
                  <c:v>158</c:v>
                </c:pt>
                <c:pt idx="5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04-45DC-AE08-54EAD056EB09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Cộng cà phê</c:v>
                </c:pt>
                <c:pt idx="1">
                  <c:v>The Coffee House</c:v>
                </c:pt>
                <c:pt idx="2">
                  <c:v>Trung Nguyên</c:v>
                </c:pt>
                <c:pt idx="3">
                  <c:v>Starbucks</c:v>
                </c:pt>
                <c:pt idx="4">
                  <c:v>Phúc Long</c:v>
                </c:pt>
                <c:pt idx="5">
                  <c:v>Highlands Coffee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90</c:v>
                </c:pt>
                <c:pt idx="1">
                  <c:v>93</c:v>
                </c:pt>
                <c:pt idx="2">
                  <c:v>106</c:v>
                </c:pt>
                <c:pt idx="3">
                  <c:v>127</c:v>
                </c:pt>
                <c:pt idx="4">
                  <c:v>237</c:v>
                </c:pt>
                <c:pt idx="5">
                  <c:v>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04-45DC-AE08-54EAD056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58295320"/>
        <c:axId val="1066301800"/>
      </c:barChart>
      <c:catAx>
        <c:axId val="105829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01800"/>
        <c:crosses val="autoZero"/>
        <c:auto val="1"/>
        <c:lblAlgn val="ctr"/>
        <c:lblOffset val="100"/>
        <c:noMultiLvlLbl val="0"/>
      </c:catAx>
      <c:valAx>
        <c:axId val="10663018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29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Sheet1!$G$2</c:f>
              <c:strCache>
                <c:ptCount val="1"/>
                <c:pt idx="0">
                  <c:v>2024-2025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Cộng cà phê</c:v>
                </c:pt>
                <c:pt idx="1">
                  <c:v>The Coffee House</c:v>
                </c:pt>
                <c:pt idx="2">
                  <c:v>Trung Nguyên</c:v>
                </c:pt>
                <c:pt idx="3">
                  <c:v>Starbucks</c:v>
                </c:pt>
                <c:pt idx="4">
                  <c:v>Phúc Long</c:v>
                </c:pt>
                <c:pt idx="5">
                  <c:v>Highlands Coffee</c:v>
                </c:pt>
              </c:strCache>
            </c:strRef>
          </c:cat>
          <c:val>
            <c:numRef>
              <c:f>Sheet1!$G$3:$G$8</c:f>
              <c:numCache>
                <c:formatCode>0.00%</c:formatCode>
                <c:ptCount val="6"/>
                <c:pt idx="0">
                  <c:v>0.2</c:v>
                </c:pt>
                <c:pt idx="1">
                  <c:v>-0.34042553191489361</c:v>
                </c:pt>
                <c:pt idx="2">
                  <c:v>-8.6206896551724144E-2</c:v>
                </c:pt>
                <c:pt idx="3">
                  <c:v>0.15454545454545454</c:v>
                </c:pt>
                <c:pt idx="4">
                  <c:v>0.5</c:v>
                </c:pt>
                <c:pt idx="5">
                  <c:v>0.10038610038610038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9-47CE-8C40-8821A2B4ED55}"/>
            </c:ext>
          </c:extLst>
        </c:ser>
        <c:ser>
          <c:idx val="0"/>
          <c:order val="1"/>
          <c:tx>
            <c:strRef>
              <c:f>Sheet1!$F$2</c:f>
              <c:strCache>
                <c:ptCount val="1"/>
                <c:pt idx="0">
                  <c:v>2019-2024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Sheet1!$B$3:$B$8</c:f>
              <c:strCache>
                <c:ptCount val="6"/>
                <c:pt idx="0">
                  <c:v>Cộng cà phê</c:v>
                </c:pt>
                <c:pt idx="1">
                  <c:v>The Coffee House</c:v>
                </c:pt>
                <c:pt idx="2">
                  <c:v>Trung Nguyên</c:v>
                </c:pt>
                <c:pt idx="3">
                  <c:v>Starbucks</c:v>
                </c:pt>
                <c:pt idx="4">
                  <c:v>Phúc Long</c:v>
                </c:pt>
                <c:pt idx="5">
                  <c:v>Highlands Coffee</c:v>
                </c:pt>
              </c:strCache>
            </c:strRef>
          </c:cat>
          <c:val>
            <c:numRef>
              <c:f>Sheet1!$F$3:$F$8</c:f>
              <c:numCache>
                <c:formatCode>0.00%</c:formatCode>
                <c:ptCount val="6"/>
                <c:pt idx="0">
                  <c:v>0.19047619047619047</c:v>
                </c:pt>
                <c:pt idx="1">
                  <c:v>-4.0816326530612242E-2</c:v>
                </c:pt>
                <c:pt idx="2">
                  <c:v>0.8125</c:v>
                </c:pt>
                <c:pt idx="3">
                  <c:v>0.9642857142857143</c:v>
                </c:pt>
                <c:pt idx="4">
                  <c:v>2.2244897959183674</c:v>
                </c:pt>
                <c:pt idx="5">
                  <c:v>1.5475409836065575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9-47CE-8C40-8821A2B4E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5771136"/>
        <c:axId val="1065768256"/>
      </c:barChart>
      <c:catAx>
        <c:axId val="1065771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68256"/>
        <c:crosses val="autoZero"/>
        <c:auto val="1"/>
        <c:lblAlgn val="ctr"/>
        <c:lblOffset val="1000"/>
        <c:noMultiLvlLbl val="0"/>
      </c:catAx>
      <c:valAx>
        <c:axId val="106576825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180851</xdr:rowOff>
    </xdr:from>
    <xdr:to>
      <xdr:col>3</xdr:col>
      <xdr:colOff>724889</xdr:colOff>
      <xdr:row>27</xdr:row>
      <xdr:rowOff>17896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B2F4C-D172-4D27-E408-438889351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14941</xdr:colOff>
      <xdr:row>10</xdr:row>
      <xdr:rowOff>144929</xdr:rowOff>
    </xdr:from>
    <xdr:to>
      <xdr:col>5</xdr:col>
      <xdr:colOff>2756648</xdr:colOff>
      <xdr:row>25</xdr:row>
      <xdr:rowOff>86658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F8F7CB-5F00-98C0-8967-B3BB7E909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abSelected="1" zoomScale="55" zoomScaleNormal="55" workbookViewId="0">
      <selection activeCell="H17" sqref="H17"/>
    </sheetView>
  </sheetViews>
  <sheetFormatPr defaultRowHeight="14.5" x14ac:dyDescent="0.35"/>
  <cols>
    <col min="2" max="2" width="23.1796875" bestFit="1" customWidth="1"/>
    <col min="3" max="3" width="23.1796875" customWidth="1"/>
    <col min="4" max="4" width="45.7265625" bestFit="1" customWidth="1"/>
    <col min="5" max="5" width="42" bestFit="1" customWidth="1"/>
    <col min="6" max="6" width="42" customWidth="1"/>
    <col min="7" max="7" width="22.1796875" customWidth="1"/>
  </cols>
  <sheetData>
    <row r="2" spans="2:7" x14ac:dyDescent="0.35">
      <c r="B2" t="s">
        <v>0</v>
      </c>
      <c r="C2">
        <v>2019</v>
      </c>
      <c r="D2">
        <v>2024</v>
      </c>
      <c r="E2">
        <v>2025</v>
      </c>
      <c r="F2" t="s">
        <v>8</v>
      </c>
      <c r="G2" t="s">
        <v>7</v>
      </c>
    </row>
    <row r="3" spans="2:7" x14ac:dyDescent="0.35">
      <c r="B3" t="s">
        <v>5</v>
      </c>
      <c r="C3">
        <v>63</v>
      </c>
      <c r="D3">
        <v>75</v>
      </c>
      <c r="E3">
        <v>90</v>
      </c>
      <c r="F3" s="1">
        <f>(D3-C3)/C3</f>
        <v>0.19047619047619047</v>
      </c>
      <c r="G3" s="1">
        <f>(E3-D3)/D3</f>
        <v>0.2</v>
      </c>
    </row>
    <row r="4" spans="2:7" x14ac:dyDescent="0.35">
      <c r="B4" t="s">
        <v>4</v>
      </c>
      <c r="C4">
        <v>147</v>
      </c>
      <c r="D4">
        <v>141</v>
      </c>
      <c r="E4">
        <v>93</v>
      </c>
      <c r="F4" s="1">
        <f>(D4-C4)/C4</f>
        <v>-4.0816326530612242E-2</v>
      </c>
      <c r="G4" s="1">
        <f>(E4-D4)/D4</f>
        <v>-0.34042553191489361</v>
      </c>
    </row>
    <row r="5" spans="2:7" x14ac:dyDescent="0.35">
      <c r="B5" t="s">
        <v>6</v>
      </c>
      <c r="C5">
        <v>64</v>
      </c>
      <c r="D5">
        <v>116</v>
      </c>
      <c r="E5">
        <v>106</v>
      </c>
      <c r="F5" s="1">
        <f>(D5-C5)/C5</f>
        <v>0.8125</v>
      </c>
      <c r="G5" s="1">
        <f>(E5-D5)/D5</f>
        <v>-8.6206896551724144E-2</v>
      </c>
    </row>
    <row r="6" spans="2:7" x14ac:dyDescent="0.35">
      <c r="B6" t="s">
        <v>3</v>
      </c>
      <c r="C6">
        <v>56</v>
      </c>
      <c r="D6">
        <v>110</v>
      </c>
      <c r="E6">
        <v>127</v>
      </c>
      <c r="F6" s="1">
        <f>(D6-C6)/C6</f>
        <v>0.9642857142857143</v>
      </c>
      <c r="G6" s="1">
        <f>(E6-D6)/D6</f>
        <v>0.15454545454545454</v>
      </c>
    </row>
    <row r="7" spans="2:7" x14ac:dyDescent="0.35">
      <c r="B7" t="s">
        <v>2</v>
      </c>
      <c r="C7">
        <v>49</v>
      </c>
      <c r="D7">
        <v>158</v>
      </c>
      <c r="E7">
        <v>237</v>
      </c>
      <c r="F7" s="1">
        <f>(D7-C7)/C7</f>
        <v>2.2244897959183674</v>
      </c>
      <c r="G7" s="1">
        <f>(E7-D7)/D7</f>
        <v>0.5</v>
      </c>
    </row>
    <row r="8" spans="2:7" x14ac:dyDescent="0.35">
      <c r="B8" t="s">
        <v>1</v>
      </c>
      <c r="C8">
        <v>305</v>
      </c>
      <c r="D8">
        <v>777</v>
      </c>
      <c r="E8">
        <v>855</v>
      </c>
      <c r="F8" s="1">
        <f>(D8-C8)/C8</f>
        <v>1.5475409836065575</v>
      </c>
      <c r="G8" s="1">
        <f>(E8-D8)/D8</f>
        <v>0.10038610038610038</v>
      </c>
    </row>
    <row r="9" spans="2:7" x14ac:dyDescent="0.35">
      <c r="E9" s="2">
        <f>SUM(E7:E8)/SUM(E3:E8)</f>
        <v>0.72413793103448276</v>
      </c>
    </row>
  </sheetData>
  <autoFilter ref="B2:G2" xr:uid="{00000000-0001-0000-0000-000000000000}">
    <sortState xmlns:xlrd2="http://schemas.microsoft.com/office/spreadsheetml/2017/richdata2" ref="B3:G8">
      <sortCondition ref="E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</dc:creator>
  <cp:lastModifiedBy>Truong Nguyen Tran Xuan</cp:lastModifiedBy>
  <dcterms:created xsi:type="dcterms:W3CDTF">2015-06-05T18:17:20Z</dcterms:created>
  <dcterms:modified xsi:type="dcterms:W3CDTF">2025-11-29T20:26:32Z</dcterms:modified>
</cp:coreProperties>
</file>