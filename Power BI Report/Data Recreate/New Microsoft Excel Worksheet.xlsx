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TRUONG\Highlands\simple-pipeline\Power BI Report\Data Recreate\"/>
    </mc:Choice>
  </mc:AlternateContent>
  <xr:revisionPtr revIDLastSave="0" documentId="13_ncr:1_{873836FB-6F27-4EB1-B265-1B0C141CAA4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Brand Growth" sheetId="1" r:id="rId1"/>
    <sheet name="occupation" sheetId="3" r:id="rId2"/>
    <sheet name="Demographics" sheetId="2" r:id="rId3"/>
  </sheets>
  <definedNames>
    <definedName name="_xlnm._FilterDatabase" localSheetId="0" hidden="1">'Brand Growth'!$B$2:$G$2</definedName>
    <definedName name="ExternalData_1" localSheetId="1" hidden="1">occupation!$A$1:$B$8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F6" i="1"/>
  <c r="F3" i="1"/>
  <c r="F5" i="1"/>
  <c r="F4" i="1"/>
  <c r="F8" i="1"/>
  <c r="F7" i="1"/>
  <c r="G7" i="1"/>
  <c r="G6" i="1"/>
  <c r="G5" i="1"/>
  <c r="G4" i="1"/>
  <c r="G3" i="1"/>
  <c r="G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A36A72-6D24-4BA3-9F04-A64686DA50D0}" keepAlive="1" name="Query - occupation" description="Connection to the 'occupation' query in the workbook." type="5" refreshedVersion="8" background="1" saveData="1">
    <dbPr connection="Provider=Microsoft.Mashup.OleDb.1;Data Source=$Workbook$;Location=occupation;Extended Properties=&quot;&quot;" command="SELECT * FROM [occupation]"/>
  </connection>
</connections>
</file>

<file path=xl/sharedStrings.xml><?xml version="1.0" encoding="utf-8"?>
<sst xmlns="http://schemas.openxmlformats.org/spreadsheetml/2006/main" count="18" uniqueCount="18">
  <si>
    <t>Brand</t>
  </si>
  <si>
    <t>Highlands Coffee</t>
  </si>
  <si>
    <t>Phúc Long</t>
  </si>
  <si>
    <t>Starbucks</t>
  </si>
  <si>
    <t>The Coffee House</t>
  </si>
  <si>
    <t>Cộng cà phê</t>
  </si>
  <si>
    <t>Trung Nguyên</t>
  </si>
  <si>
    <t>2024-2025</t>
  </si>
  <si>
    <t>2019-2024</t>
  </si>
  <si>
    <t>occupation_group</t>
  </si>
  <si>
    <t>%</t>
  </si>
  <si>
    <t>Blue Collar</t>
  </si>
  <si>
    <t>Non-working</t>
  </si>
  <si>
    <t>Office Worker</t>
  </si>
  <si>
    <t>Professional</t>
  </si>
  <si>
    <t>Self Employed</t>
  </si>
  <si>
    <t>Service &amp; Agriculture</t>
  </si>
  <si>
    <t>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</si>
</sst>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1" applyNumberFormat="1" applyFont="1"/>
    <xf numFmtId="9" fontId="0" fillId="0" borderId="0" xfId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'Brand Growth'!$C$2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'Brand Growth'!$B$3:$B$8</c:f>
              <c:strCache>
                <c:ptCount val="6"/>
                <c:pt idx="0">
                  <c:v>Cộng cà phê</c:v>
                </c:pt>
                <c:pt idx="1">
                  <c:v>The Coffee House</c:v>
                </c:pt>
                <c:pt idx="2">
                  <c:v>Trung Nguyên</c:v>
                </c:pt>
                <c:pt idx="3">
                  <c:v>Starbucks</c:v>
                </c:pt>
                <c:pt idx="4">
                  <c:v>Phúc Long</c:v>
                </c:pt>
                <c:pt idx="5">
                  <c:v>Highlands Coffee</c:v>
                </c:pt>
              </c:strCache>
            </c:strRef>
          </c:cat>
          <c:val>
            <c:numRef>
              <c:f>'Brand Growth'!$C$3:$C$8</c:f>
              <c:numCache>
                <c:formatCode>General</c:formatCode>
                <c:ptCount val="6"/>
                <c:pt idx="0">
                  <c:v>63</c:v>
                </c:pt>
                <c:pt idx="1">
                  <c:v>147</c:v>
                </c:pt>
                <c:pt idx="2">
                  <c:v>64</c:v>
                </c:pt>
                <c:pt idx="3">
                  <c:v>56</c:v>
                </c:pt>
                <c:pt idx="4">
                  <c:v>49</c:v>
                </c:pt>
                <c:pt idx="5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04-45DC-AE08-54EAD056EB09}"/>
            </c:ext>
          </c:extLst>
        </c:ser>
        <c:ser>
          <c:idx val="1"/>
          <c:order val="1"/>
          <c:tx>
            <c:strRef>
              <c:f>'Brand Growth'!$D$2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'Brand Growth'!$B$3:$B$8</c:f>
              <c:strCache>
                <c:ptCount val="6"/>
                <c:pt idx="0">
                  <c:v>Cộng cà phê</c:v>
                </c:pt>
                <c:pt idx="1">
                  <c:v>The Coffee House</c:v>
                </c:pt>
                <c:pt idx="2">
                  <c:v>Trung Nguyên</c:v>
                </c:pt>
                <c:pt idx="3">
                  <c:v>Starbucks</c:v>
                </c:pt>
                <c:pt idx="4">
                  <c:v>Phúc Long</c:v>
                </c:pt>
                <c:pt idx="5">
                  <c:v>Highlands Coffee</c:v>
                </c:pt>
              </c:strCache>
            </c:strRef>
          </c:cat>
          <c:val>
            <c:numRef>
              <c:f>'Brand Growth'!$D$3:$D$8</c:f>
              <c:numCache>
                <c:formatCode>General</c:formatCode>
                <c:ptCount val="6"/>
                <c:pt idx="0">
                  <c:v>75</c:v>
                </c:pt>
                <c:pt idx="1">
                  <c:v>141</c:v>
                </c:pt>
                <c:pt idx="2">
                  <c:v>116</c:v>
                </c:pt>
                <c:pt idx="3">
                  <c:v>110</c:v>
                </c:pt>
                <c:pt idx="4">
                  <c:v>158</c:v>
                </c:pt>
                <c:pt idx="5">
                  <c:v>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04-45DC-AE08-54EAD056EB09}"/>
            </c:ext>
          </c:extLst>
        </c:ser>
        <c:ser>
          <c:idx val="2"/>
          <c:order val="2"/>
          <c:tx>
            <c:strRef>
              <c:f>'Brand Growth'!$E$2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'Brand Growth'!$B$3:$B$8</c:f>
              <c:strCache>
                <c:ptCount val="6"/>
                <c:pt idx="0">
                  <c:v>Cộng cà phê</c:v>
                </c:pt>
                <c:pt idx="1">
                  <c:v>The Coffee House</c:v>
                </c:pt>
                <c:pt idx="2">
                  <c:v>Trung Nguyên</c:v>
                </c:pt>
                <c:pt idx="3">
                  <c:v>Starbucks</c:v>
                </c:pt>
                <c:pt idx="4">
                  <c:v>Phúc Long</c:v>
                </c:pt>
                <c:pt idx="5">
                  <c:v>Highlands Coffee</c:v>
                </c:pt>
              </c:strCache>
            </c:strRef>
          </c:cat>
          <c:val>
            <c:numRef>
              <c:f>'Brand Growth'!$E$3:$E$8</c:f>
              <c:numCache>
                <c:formatCode>General</c:formatCode>
                <c:ptCount val="6"/>
                <c:pt idx="0">
                  <c:v>90</c:v>
                </c:pt>
                <c:pt idx="1">
                  <c:v>93</c:v>
                </c:pt>
                <c:pt idx="2">
                  <c:v>106</c:v>
                </c:pt>
                <c:pt idx="3">
                  <c:v>127</c:v>
                </c:pt>
                <c:pt idx="4">
                  <c:v>237</c:v>
                </c:pt>
                <c:pt idx="5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04-45DC-AE08-54EAD056E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58295320"/>
        <c:axId val="1066301800"/>
      </c:barChart>
      <c:catAx>
        <c:axId val="1058295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01800"/>
        <c:crosses val="autoZero"/>
        <c:auto val="1"/>
        <c:lblAlgn val="ctr"/>
        <c:lblOffset val="100"/>
        <c:noMultiLvlLbl val="0"/>
      </c:catAx>
      <c:valAx>
        <c:axId val="10663018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295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'Brand Growth'!$G$2</c:f>
              <c:strCache>
                <c:ptCount val="1"/>
                <c:pt idx="0">
                  <c:v>2024-2025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'Brand Growth'!$B$3:$B$8</c:f>
              <c:strCache>
                <c:ptCount val="6"/>
                <c:pt idx="0">
                  <c:v>Cộng cà phê</c:v>
                </c:pt>
                <c:pt idx="1">
                  <c:v>The Coffee House</c:v>
                </c:pt>
                <c:pt idx="2">
                  <c:v>Trung Nguyên</c:v>
                </c:pt>
                <c:pt idx="3">
                  <c:v>Starbucks</c:v>
                </c:pt>
                <c:pt idx="4">
                  <c:v>Phúc Long</c:v>
                </c:pt>
                <c:pt idx="5">
                  <c:v>Highlands Coffee</c:v>
                </c:pt>
              </c:strCache>
            </c:strRef>
          </c:cat>
          <c:val>
            <c:numRef>
              <c:f>'Brand Growth'!$G$3:$G$8</c:f>
              <c:numCache>
                <c:formatCode>0.00%</c:formatCode>
                <c:ptCount val="6"/>
                <c:pt idx="0">
                  <c:v>0.2</c:v>
                </c:pt>
                <c:pt idx="1">
                  <c:v>-0.34042553191489361</c:v>
                </c:pt>
                <c:pt idx="2">
                  <c:v>-8.6206896551724144E-2</c:v>
                </c:pt>
                <c:pt idx="3">
                  <c:v>0.15454545454545454</c:v>
                </c:pt>
                <c:pt idx="4">
                  <c:v>0.5</c:v>
                </c:pt>
                <c:pt idx="5">
                  <c:v>0.10038610038610038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D9-47CE-8C40-8821A2B4ED55}"/>
            </c:ext>
          </c:extLst>
        </c:ser>
        <c:ser>
          <c:idx val="0"/>
          <c:order val="1"/>
          <c:tx>
            <c:strRef>
              <c:f>'Brand Growth'!$F$2</c:f>
              <c:strCache>
                <c:ptCount val="1"/>
                <c:pt idx="0">
                  <c:v>2019-2024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'Brand Growth'!$B$3:$B$8</c:f>
              <c:strCache>
                <c:ptCount val="6"/>
                <c:pt idx="0">
                  <c:v>Cộng cà phê</c:v>
                </c:pt>
                <c:pt idx="1">
                  <c:v>The Coffee House</c:v>
                </c:pt>
                <c:pt idx="2">
                  <c:v>Trung Nguyên</c:v>
                </c:pt>
                <c:pt idx="3">
                  <c:v>Starbucks</c:v>
                </c:pt>
                <c:pt idx="4">
                  <c:v>Phúc Long</c:v>
                </c:pt>
                <c:pt idx="5">
                  <c:v>Highlands Coffee</c:v>
                </c:pt>
              </c:strCache>
            </c:strRef>
          </c:cat>
          <c:val>
            <c:numRef>
              <c:f>'Brand Growth'!$F$3:$F$8</c:f>
              <c:numCache>
                <c:formatCode>0.00%</c:formatCode>
                <c:ptCount val="6"/>
                <c:pt idx="0">
                  <c:v>0.19047619047619047</c:v>
                </c:pt>
                <c:pt idx="1">
                  <c:v>-4.0816326530612242E-2</c:v>
                </c:pt>
                <c:pt idx="2">
                  <c:v>0.8125</c:v>
                </c:pt>
                <c:pt idx="3">
                  <c:v>0.9642857142857143</c:v>
                </c:pt>
                <c:pt idx="4">
                  <c:v>2.2244897959183674</c:v>
                </c:pt>
                <c:pt idx="5">
                  <c:v>1.5475409836065575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9-47CE-8C40-8821A2B4E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5771136"/>
        <c:axId val="1065768256"/>
      </c:barChart>
      <c:catAx>
        <c:axId val="10657711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768256"/>
        <c:crosses val="autoZero"/>
        <c:auto val="1"/>
        <c:lblAlgn val="ctr"/>
        <c:lblOffset val="1000"/>
        <c:noMultiLvlLbl val="0"/>
      </c:catAx>
      <c:valAx>
        <c:axId val="106576825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77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occupation!$B$1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Segoe UI Variable Display Semib (Body)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occupation!$A$2:$A$8</c:f>
              <c:strCache>
                <c:ptCount val="7"/>
                <c:pt idx="0">
                  <c:v>Professional</c:v>
                </c:pt>
                <c:pt idx="1">
                  <c:v>Student</c:v>
                </c:pt>
                <c:pt idx="2">
                  <c:v>Blue Collar</c:v>
                </c:pt>
                <c:pt idx="3">
                  <c:v>Non-working</c:v>
                </c:pt>
                <c:pt idx="4">
                  <c:v>Service &amp; Agriculture</c:v>
                </c:pt>
                <c:pt idx="5">
                  <c:v>Office Worker</c:v>
                </c:pt>
                <c:pt idx="6">
                  <c:v>Self Employed</c:v>
                </c:pt>
              </c:strCache>
            </c:strRef>
          </c:cat>
          <c:val>
            <c:numRef>
              <c:f>occupation!$B$2:$B$8</c:f>
              <c:numCache>
                <c:formatCode>0%</c:formatCode>
                <c:ptCount val="7"/>
                <c:pt idx="0">
                  <c:v>0.06</c:v>
                </c:pt>
                <c:pt idx="1">
                  <c:v>0.09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</c:v>
                </c:pt>
                <c:pt idx="6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4F-47E0-BABC-1635811B71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2114485232"/>
        <c:axId val="2114488472"/>
      </c:barChart>
      <c:catAx>
        <c:axId val="2114485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Segoe UI Variable Display Semib (Body)" pitchFamily="2" charset="0"/>
                <a:ea typeface="+mn-ea"/>
                <a:cs typeface="+mn-cs"/>
              </a:defRPr>
            </a:pPr>
            <a:endParaRPr lang="en-US"/>
          </a:p>
        </c:txPr>
        <c:crossAx val="2114488472"/>
        <c:crosses val="autoZero"/>
        <c:auto val="1"/>
        <c:lblAlgn val="ctr"/>
        <c:lblOffset val="100"/>
        <c:noMultiLvlLbl val="0"/>
      </c:catAx>
      <c:valAx>
        <c:axId val="2114488472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211448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180851</xdr:rowOff>
    </xdr:from>
    <xdr:to>
      <xdr:col>3</xdr:col>
      <xdr:colOff>724889</xdr:colOff>
      <xdr:row>27</xdr:row>
      <xdr:rowOff>17896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6B2F4C-D172-4D27-E408-438889351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14941</xdr:colOff>
      <xdr:row>10</xdr:row>
      <xdr:rowOff>144929</xdr:rowOff>
    </xdr:from>
    <xdr:to>
      <xdr:col>5</xdr:col>
      <xdr:colOff>2756648</xdr:colOff>
      <xdr:row>25</xdr:row>
      <xdr:rowOff>86658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F8F7CB-5F00-98C0-8967-B3BB7E909F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282575</xdr:colOff>
      <xdr:row>4</xdr:row>
      <xdr:rowOff>103187</xdr:rowOff>
    </xdr:from>
    <xdr:to>
      <xdr:col>11</xdr:col>
      <xdr:colOff>587375</xdr:colOff>
      <xdr:row>19</xdr:row>
      <xdr:rowOff>144462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61E6B-18E5-F88B-D23D-70CC26A453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0838769-3004-4D27-8944-CD46A2B7F29E}" autoFormatId="16" applyNumberFormats="0" applyBorderFormats="0" applyFontFormats="0" applyPatternFormats="0" applyAlignmentFormats="0" applyWidthHeightFormats="0">
  <queryTableRefresh nextId="3">
    <queryTableFields count="2">
      <queryTableField id="1" name="occupation_group" tableColumnId="1"/>
      <queryTableField id="2" name="%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3A9097-F649-4050-90D3-409B5D09238F}" name="occupation" displayName="occupation" ref="A1:B8" tableType="queryTable" totalsRowShown="0">
  <autoFilter ref="A1:B8" xr:uid="{4C3A9097-F649-4050-90D3-409B5D09238F}"/>
  <sortState xmlns:xlrd2="http://schemas.microsoft.com/office/spreadsheetml/2017/richdata2" ref="A2:B8">
    <sortCondition ref="B1:B8"/>
  </sortState>
  <tableColumns count="2">
    <tableColumn id="1" xr3:uid="{0A8670F0-1BFC-47C4-B259-60E6413DD51C}" uniqueName="1" name="occupation_group" queryTableFieldId="1" dataDxfId="0"/>
    <tableColumn id="2" xr3:uid="{FD718F54-6D29-408C-93A2-4AF56FA696C0}" uniqueName="2" name="%" queryTableFieldId="2" dataCellStyle="Percen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00000"/>
      </a:accent1>
      <a:accent2>
        <a:srgbClr val="7F7F7F"/>
      </a:accent2>
      <a:accent3>
        <a:srgbClr val="D0D0D0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9"/>
  <sheetViews>
    <sheetView zoomScaleNormal="100" workbookViewId="0">
      <selection activeCell="C30" sqref="C30"/>
    </sheetView>
  </sheetViews>
  <sheetFormatPr defaultRowHeight="14.5" x14ac:dyDescent="0.35"/>
  <cols>
    <col min="2" max="3" width="23.1796875" customWidth="1"/>
    <col min="4" max="4" width="45.7265625" customWidth="1"/>
    <col min="5" max="6" width="42" customWidth="1"/>
    <col min="7" max="7" width="22.1796875" customWidth="1"/>
  </cols>
  <sheetData>
    <row r="2" spans="2:7" x14ac:dyDescent="0.35">
      <c r="B2" t="s">
        <v>0</v>
      </c>
      <c r="C2">
        <v>2019</v>
      </c>
      <c r="D2">
        <v>2024</v>
      </c>
      <c r="E2">
        <v>2025</v>
      </c>
      <c r="F2" t="s">
        <v>8</v>
      </c>
      <c r="G2" t="s">
        <v>7</v>
      </c>
    </row>
    <row r="3" spans="2:7" x14ac:dyDescent="0.35">
      <c r="B3" t="s">
        <v>5</v>
      </c>
      <c r="C3">
        <v>63</v>
      </c>
      <c r="D3">
        <v>75</v>
      </c>
      <c r="E3">
        <v>90</v>
      </c>
      <c r="F3" s="1">
        <f t="shared" ref="F3:G8" si="0">(D3-C3)/C3</f>
        <v>0.19047619047619047</v>
      </c>
      <c r="G3" s="1">
        <f t="shared" si="0"/>
        <v>0.2</v>
      </c>
    </row>
    <row r="4" spans="2:7" x14ac:dyDescent="0.35">
      <c r="B4" t="s">
        <v>4</v>
      </c>
      <c r="C4">
        <v>147</v>
      </c>
      <c r="D4">
        <v>141</v>
      </c>
      <c r="E4">
        <v>93</v>
      </c>
      <c r="F4" s="1">
        <f t="shared" si="0"/>
        <v>-4.0816326530612242E-2</v>
      </c>
      <c r="G4" s="1">
        <f t="shared" si="0"/>
        <v>-0.34042553191489361</v>
      </c>
    </row>
    <row r="5" spans="2:7" x14ac:dyDescent="0.35">
      <c r="B5" t="s">
        <v>6</v>
      </c>
      <c r="C5">
        <v>64</v>
      </c>
      <c r="D5">
        <v>116</v>
      </c>
      <c r="E5">
        <v>106</v>
      </c>
      <c r="F5" s="1">
        <f t="shared" si="0"/>
        <v>0.8125</v>
      </c>
      <c r="G5" s="1">
        <f t="shared" si="0"/>
        <v>-8.6206896551724144E-2</v>
      </c>
    </row>
    <row r="6" spans="2:7" x14ac:dyDescent="0.35">
      <c r="B6" t="s">
        <v>3</v>
      </c>
      <c r="C6">
        <v>56</v>
      </c>
      <c r="D6">
        <v>110</v>
      </c>
      <c r="E6">
        <v>127</v>
      </c>
      <c r="F6" s="1">
        <f t="shared" si="0"/>
        <v>0.9642857142857143</v>
      </c>
      <c r="G6" s="1">
        <f t="shared" si="0"/>
        <v>0.15454545454545454</v>
      </c>
    </row>
    <row r="7" spans="2:7" x14ac:dyDescent="0.35">
      <c r="B7" t="s">
        <v>2</v>
      </c>
      <c r="C7">
        <v>49</v>
      </c>
      <c r="D7">
        <v>158</v>
      </c>
      <c r="E7">
        <v>237</v>
      </c>
      <c r="F7" s="1">
        <f t="shared" si="0"/>
        <v>2.2244897959183674</v>
      </c>
      <c r="G7" s="1">
        <f t="shared" si="0"/>
        <v>0.5</v>
      </c>
    </row>
    <row r="8" spans="2:7" x14ac:dyDescent="0.35">
      <c r="B8" t="s">
        <v>1</v>
      </c>
      <c r="C8">
        <v>305</v>
      </c>
      <c r="D8">
        <v>777</v>
      </c>
      <c r="E8">
        <v>855</v>
      </c>
      <c r="F8" s="1">
        <f t="shared" si="0"/>
        <v>1.5475409836065575</v>
      </c>
      <c r="G8" s="1">
        <f t="shared" si="0"/>
        <v>0.10038610038610038</v>
      </c>
    </row>
    <row r="9" spans="2:7" x14ac:dyDescent="0.35">
      <c r="E9" s="2">
        <f>SUM(E7:E8)/SUM(E3:E8)</f>
        <v>0.72413793103448276</v>
      </c>
    </row>
  </sheetData>
  <autoFilter ref="B2:G2" xr:uid="{00000000-0001-0000-0000-000000000000}">
    <sortState xmlns:xlrd2="http://schemas.microsoft.com/office/spreadsheetml/2017/richdata2" ref="B3:G8">
      <sortCondition ref="E2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3F47-2ED4-43F1-A4AD-00B7547B5B7B}">
  <dimension ref="A1:B8"/>
  <sheetViews>
    <sheetView tabSelected="1" zoomScale="115" zoomScaleNormal="115" workbookViewId="0">
      <selection activeCell="M13" sqref="M13"/>
    </sheetView>
  </sheetViews>
  <sheetFormatPr defaultRowHeight="14.5" x14ac:dyDescent="0.35"/>
  <cols>
    <col min="1" max="1" width="18.90625" customWidth="1"/>
    <col min="2" max="2" width="4.81640625" customWidth="1"/>
  </cols>
  <sheetData>
    <row r="1" spans="1:2" x14ac:dyDescent="0.35">
      <c r="A1" t="s">
        <v>9</v>
      </c>
      <c r="B1" t="s">
        <v>10</v>
      </c>
    </row>
    <row r="2" spans="1:2" x14ac:dyDescent="0.35">
      <c r="A2" s="3" t="s">
        <v>14</v>
      </c>
      <c r="B2" s="2">
        <v>0.06</v>
      </c>
    </row>
    <row r="3" spans="1:2" x14ac:dyDescent="0.35">
      <c r="A3" s="3" t="s">
        <v>17</v>
      </c>
      <c r="B3" s="2">
        <v>0.09</v>
      </c>
    </row>
    <row r="4" spans="1:2" x14ac:dyDescent="0.35">
      <c r="A4" s="3" t="s">
        <v>11</v>
      </c>
      <c r="B4" s="2">
        <v>0.1</v>
      </c>
    </row>
    <row r="5" spans="1:2" x14ac:dyDescent="0.35">
      <c r="A5" s="3" t="s">
        <v>12</v>
      </c>
      <c r="B5" s="2">
        <v>0.14000000000000001</v>
      </c>
    </row>
    <row r="6" spans="1:2" x14ac:dyDescent="0.35">
      <c r="A6" s="3" t="s">
        <v>16</v>
      </c>
      <c r="B6" s="2">
        <v>0.18</v>
      </c>
    </row>
    <row r="7" spans="1:2" x14ac:dyDescent="0.35">
      <c r="A7" s="3" t="s">
        <v>13</v>
      </c>
      <c r="B7" s="2">
        <v>0.2</v>
      </c>
    </row>
    <row r="8" spans="1:2" x14ac:dyDescent="0.35">
      <c r="A8" s="3" t="s">
        <v>15</v>
      </c>
      <c r="B8" s="2">
        <v>0.23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81CA-F2F3-4A51-B90E-7B5AF853BC8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DF8BF6-E9E2-4BAE-8C1A-CF606D3B1F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Brand Growth</vt:lpstr>
      <vt:lpstr>occupation</vt:lpstr>
      <vt:lpstr>Demographics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TRUONG</dc:creator>
  <cp:lastModifiedBy>Truong Nguyen Tran Xuan</cp:lastModifiedBy>
  <dcterms:created xsi:type="dcterms:W3CDTF">2015-06-05T18:17:20Z</dcterms:created>
  <dcterms:modified xsi:type="dcterms:W3CDTF">2025-12-25T09:12:01Z</dcterms:modified>
</cp:coreProperties>
</file>